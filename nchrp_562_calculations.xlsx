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1 (&lt;= 35 mph)" sheetId="1" state="visible" r:id="rId1"/>
    <sheet xmlns:r="http://schemas.openxmlformats.org/officeDocument/2006/relationships" name="Worksheet 2 (&gt; 35 mp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595959"/>
      <sz val="9"/>
    </font>
    <font>
      <name val="Segoe UI"/>
      <b val="1"/>
      <color rgb="00006100"/>
      <sz val="10"/>
    </font>
    <font>
      <name val="Segoe UI"/>
      <b val="1"/>
      <color rgb="00FFFFFF"/>
      <sz val="10"/>
    </font>
    <font>
      <name val="Segoe U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D97706"/>
        <sz val="10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595959"/>
        <sz val="11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Worksheet 1 - NCHRP 562 Crossing Treatment</a:t>
            </a:r>
          </a:p>
        </rich>
      </tx>
    </title>
    <plotArea>
      <scatterChart>
        <ser>
          <idx val="0"/>
          <order val="0"/>
          <tx>
            <strRef>
              <f>'Worksheet 1 (&lt;= 35 mph)'!F1</f>
            </strRef>
          </tx>
          <spPr>
            <a:ln xmlns:a="http://schemas.openxmlformats.org/drawingml/2006/main" w="30000">
              <a:solidFill>
                <a:srgbClr val="8E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1 (&lt;= 35 mph)'!$E$2:$E$9</f>
            </numRef>
          </xVal>
          <yVal>
            <numRef>
              <f>'Worksheet 1 (&lt;= 35 mph)'!$F$2:$F$9</f>
            </numRef>
          </yVal>
        </ser>
        <ser>
          <idx val="1"/>
          <order val="1"/>
          <tx>
            <strRef>
              <f>'Worksheet 1 (&lt;= 35 mph)'!G1</f>
            </strRef>
          </tx>
          <spPr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1 (&lt;= 35 mph)'!$E$2:$E$9</f>
            </numRef>
          </xVal>
          <yVal>
            <numRef>
              <f>'Worksheet 1 (&lt;= 35 mph)'!$G$2:$G$9</f>
            </numRef>
          </yVal>
        </ser>
        <ser>
          <idx val="2"/>
          <order val="2"/>
          <tx>
            <strRef>
              <f>'Worksheet 1 (&lt;= 35 mph)'!H1</f>
            </strRef>
          </tx>
          <spPr>
            <a:ln xmlns:a="http://schemas.openxmlformats.org/drawingml/2006/main">
              <a:solidFill>
                <a:srgbClr val="F57F1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1 (&lt;= 35 mph)'!$E$2:$E$9</f>
            </numRef>
          </xVal>
          <yVal>
            <numRef>
              <f>'Worksheet 1 (&lt;= 35 mph)'!$H$2:$H$9</f>
            </numRef>
          </yVal>
        </ser>
        <ser>
          <idx val="3"/>
          <order val="3"/>
          <tx>
            <strRef>
              <f>'Worksheet 1 (&lt;= 35 mph)'!I1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1 (&lt;= 35 mph)'!$E$2:$E$9</f>
            </numRef>
          </xVal>
          <yVal>
            <numRef>
              <f>'Worksheet 1 (&lt;= 35 mph)'!$I$2:$I$9</f>
            </numRef>
          </yVal>
        </ser>
        <ser>
          <idx val="4"/>
          <order val="4"/>
          <tx>
            <strRef>
              <f>'Worksheet 1 (&lt;= 35 mph)'!L1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1E9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'Worksheet 1 (&lt;= 35 mph)'!$K$2</f>
            </numRef>
          </xVal>
          <yVal>
            <numRef>
              <f>'Worksheet 1 (&lt;= 35 mph)'!$L$2</f>
            </numRef>
          </yVal>
        </ser>
        <axId val="10"/>
        <axId val="20"/>
      </scatterChart>
      <valAx>
        <axId val="10"/>
        <scaling>
          <orientation val="minMax"/>
          <max val="2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Major Road Volume (veh/h)</a:t>
                </a:r>
              </a:p>
            </rich>
          </tx>
        </title>
        <majorTickMark val="none"/>
        <minorTickMark val="none"/>
        <crossAx val="20"/>
        <majorUnit val="300"/>
      </valAx>
      <valAx>
        <axId val="20"/>
        <scaling>
          <orientation val="minMax"/>
          <max val="7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Pedestrian Volume (ped/h)</a:t>
                </a:r>
              </a:p>
            </rich>
          </tx>
        </title>
        <majorTickMark val="none"/>
        <minorTickMark val="none"/>
        <crossAx val="10"/>
        <majorUnit val="10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Worksheet 2 - NCHRP 562 Crossing Treatment</a:t>
            </a:r>
          </a:p>
        </rich>
      </tx>
    </title>
    <plotArea>
      <scatterChart>
        <ser>
          <idx val="0"/>
          <order val="0"/>
          <tx>
            <strRef>
              <f>'Worksheet 2 (&gt; 35 mph)'!F1</f>
            </strRef>
          </tx>
          <spPr>
            <a:ln xmlns:a="http://schemas.openxmlformats.org/drawingml/2006/main" w="30000">
              <a:solidFill>
                <a:srgbClr val="8E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2 (&gt; 35 mph)'!$E$2:$E$9</f>
            </numRef>
          </xVal>
          <yVal>
            <numRef>
              <f>'Worksheet 2 (&gt; 35 mph)'!$F$2:$F$9</f>
            </numRef>
          </yVal>
        </ser>
        <ser>
          <idx val="1"/>
          <order val="1"/>
          <tx>
            <strRef>
              <f>'Worksheet 2 (&gt; 35 mph)'!H1</f>
            </strRef>
          </tx>
          <spPr>
            <a:ln xmlns:a="http://schemas.openxmlformats.org/drawingml/2006/main">
              <a:solidFill>
                <a:srgbClr val="F57F1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2 (&gt; 35 mph)'!$E$2:$E$9</f>
            </numRef>
          </xVal>
          <yVal>
            <numRef>
              <f>'Worksheet 2 (&gt; 35 mph)'!$H$2:$H$9</f>
            </numRef>
          </yVal>
        </ser>
        <ser>
          <idx val="2"/>
          <order val="2"/>
          <tx>
            <strRef>
              <f>'Worksheet 2 (&gt; 35 mph)'!I1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'Worksheet 2 (&gt; 35 mph)'!$E$2:$E$9</f>
            </numRef>
          </xVal>
          <yVal>
            <numRef>
              <f>'Worksheet 2 (&gt; 35 mph)'!$I$2:$I$9</f>
            </numRef>
          </yVal>
        </ser>
        <ser>
          <idx val="3"/>
          <order val="3"/>
          <tx>
            <strRef>
              <f>'Worksheet 2 (&gt; 35 mph)'!L1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1E9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'Worksheet 2 (&gt; 35 mph)'!$K$2</f>
            </numRef>
          </xVal>
          <yVal>
            <numRef>
              <f>'Worksheet 2 (&gt; 35 mph)'!$L$2</f>
            </numRef>
          </yVal>
        </ser>
        <axId val="10"/>
        <axId val="20"/>
      </scatterChart>
      <valAx>
        <axId val="10"/>
        <scaling>
          <orientation val="minMax"/>
          <max val="2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Major Road Volume (veh/h)</a:t>
                </a:r>
              </a:p>
            </rich>
          </tx>
        </title>
        <majorTickMark val="none"/>
        <minorTickMark val="none"/>
        <crossAx val="20"/>
        <majorUnit val="300"/>
      </valAx>
      <valAx>
        <axId val="20"/>
        <scaling>
          <orientation val="minMax"/>
          <max val="7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Pedestrian Volume (ped/h)</a:t>
                </a:r>
              </a:p>
            </rich>
          </tx>
        </title>
        <majorTickMark val="none"/>
        <minorTickMark val="none"/>
        <crossAx val="10"/>
        <majorUni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5" customWidth="1" min="2" max="2"/>
    <col width="25" customWidth="1" min="3" max="3"/>
  </cols>
  <sheetData>
    <row r="1" ht="35" customHeight="1">
      <c r="A1" s="1" t="inlineStr">
        <is>
          <t>WORKSHEET 1: PEAK-HOUR, 35 MPH (55 KM/H) OR LESS</t>
        </is>
      </c>
      <c r="E1" s="2" t="inlineStr">
        <is>
          <t>Major Road Volume (veh/h)</t>
        </is>
      </c>
      <c r="F1" s="2" t="inlineStr">
        <is>
          <t>Signal Warrant (SC)</t>
        </is>
      </c>
      <c r="G1" s="2" t="inlineStr">
        <is>
          <t>Delay = 1.3</t>
        </is>
      </c>
      <c r="H1" s="2" t="inlineStr">
        <is>
          <t>Delay = 5.3</t>
        </is>
      </c>
      <c r="I1" s="2" t="inlineStr">
        <is>
          <t>Delay = 21.3</t>
        </is>
      </c>
      <c r="K1" s="2" t="inlineStr">
        <is>
          <t>User Volume</t>
        </is>
      </c>
      <c r="L1" s="2" t="inlineStr">
        <is>
          <t>User Pedestrians</t>
        </is>
      </c>
    </row>
    <row r="2">
      <c r="E2" s="3" t="n">
        <v>0</v>
      </c>
      <c r="F2" s="4">
        <f>IF($C$24&lt;3.5, 0.5, 1) * IF($C$12=1, IF((0.00021 * E2^2 - 0.74072 * E2 + 734.125)/0.75 &lt; 133, 133, (0.00021 * E2^2 - 0.74072 * E2 + 734.125)/0.75), IF((0.00035 * E2^2 - 0.80083 * E2 + 529.197)/0.75 &lt; 93, 93, (0.00035 * E2^2 - 0.80083 * E2 + 529.197)/0.75))</f>
        <v/>
      </c>
      <c r="G2" s="4">
        <f>IF(IF(ROUND(IF($C$12=1, E2/3600, (E2/0.7)/3600), 2)&gt;0, (EXP(ROUND(IF($C$12=1, E2/3600, (E2/0.7)/3600), 2) * $C$26) - ROUND(IF($C$12=1, E2/3600, (E2/0.7)/3600), 2) * $C$26 - 1)/ROUND(IF($C$12=1, E2/3600, (E2/0.7)/3600), 2), 0)&gt;0, (3600 * 1.3) / IF(ROUND(IF($C$12=1, E2/3600, (E2/0.7)/3600), 2)&gt;0, (EXP(ROUND(IF($C$12=1, E2/3600, (E2/0.7)/3600), 2) * $C$26) - ROUND(IF($C$12=1, E2/3600, (E2/0.7)/3600), 2) * $C$26 - 1)/ROUND(IF($C$12=1, E2/3600, (E2/0.7)/3600), 2), 0), 0)</f>
        <v/>
      </c>
      <c r="H2" s="4">
        <f>IF(IF(ROUND(IF($C$12=1, E2/3600, (E2/0.7)/3600), 2)&gt;0, (EXP(ROUND(IF($C$12=1, E2/3600, (E2/0.7)/3600), 2) * $C$26) - ROUND(IF($C$12=1, E2/3600, (E2/0.7)/3600), 2) * $C$26 - 1)/ROUND(IF($C$12=1, E2/3600, (E2/0.7)/3600), 2), 0)&gt;0, (3600 * 5.3) / IF(ROUND(IF($C$12=1, E2/3600, (E2/0.7)/3600), 2)&gt;0, (EXP(ROUND(IF($C$12=1, E2/3600, (E2/0.7)/3600), 2) * $C$26) - ROUND(IF($C$12=1, E2/3600, (E2/0.7)/3600), 2) * $C$26 - 1)/ROUND(IF($C$12=1, E2/3600, (E2/0.7)/3600), 2), 0), 0)</f>
        <v/>
      </c>
      <c r="I2" s="4">
        <f>IF(IF(ROUND(IF($C$12=1, E2/3600, (E2/0.7)/3600), 2)&gt;0, (EXP(ROUND(IF($C$12=1, E2/3600, (E2/0.7)/3600), 2) * $C$26) - ROUND(IF($C$12=1, E2/3600, (E2/0.7)/3600), 2) * $C$26 - 1)/ROUND(IF($C$12=1, E2/3600, (E2/0.7)/3600), 2), 0)&gt;0, (3600 * 21.3) / IF(ROUND(IF($C$12=1, E2/3600, (E2/0.7)/3600), 2)&gt;0, (EXP(ROUND(IF($C$12=1, E2/3600, (E2/0.7)/3600), 2) * $C$26) - ROUND(IF($C$12=1, E2/3600, (E2/0.7)/3600), 2) * $C$26 - 1)/ROUND(IF($C$12=1, E2/3600, (E2/0.7)/3600), 2), 0), 0)</f>
        <v/>
      </c>
      <c r="K2" s="3">
        <f>C17</f>
        <v/>
      </c>
      <c r="L2" s="3">
        <f>C14</f>
        <v/>
      </c>
    </row>
    <row r="3" ht="24" customHeight="1">
      <c r="A3" s="5" t="inlineStr">
        <is>
          <t>Analyst and Site Information</t>
        </is>
      </c>
      <c r="E3" s="3" t="n">
        <v>300</v>
      </c>
      <c r="F3" s="4">
        <f>IF($C$24&lt;3.5, 0.5, 1) * IF($C$12=1, IF((0.00021 * E3^2 - 0.74072 * E3 + 734.125)/0.75 &lt; 133, 133, (0.00021 * E3^2 - 0.74072 * E3 + 734.125)/0.75), IF((0.00035 * E3^2 - 0.80083 * E3 + 529.197)/0.75 &lt; 93, 93, (0.00035 * E3^2 - 0.80083 * E3 + 529.197)/0.75))</f>
        <v/>
      </c>
      <c r="G3" s="4">
        <f>IF(IF(ROUND(IF($C$12=1, E3/3600, (E3/0.7)/3600), 2)&gt;0, (EXP(ROUND(IF($C$12=1, E3/3600, (E3/0.7)/3600), 2) * $C$26) - ROUND(IF($C$12=1, E3/3600, (E3/0.7)/3600), 2) * $C$26 - 1)/ROUND(IF($C$12=1, E3/3600, (E3/0.7)/3600), 2), 0)&gt;0, (3600 * 1.3) / IF(ROUND(IF($C$12=1, E3/3600, (E3/0.7)/3600), 2)&gt;0, (EXP(ROUND(IF($C$12=1, E3/3600, (E3/0.7)/3600), 2) * $C$26) - ROUND(IF($C$12=1, E3/3600, (E3/0.7)/3600), 2) * $C$26 - 1)/ROUND(IF($C$12=1, E3/3600, (E3/0.7)/3600), 2), 0), 0)</f>
        <v/>
      </c>
      <c r="H3" s="4">
        <f>IF(IF(ROUND(IF($C$12=1, E3/3600, (E3/0.7)/3600), 2)&gt;0, (EXP(ROUND(IF($C$12=1, E3/3600, (E3/0.7)/3600), 2) * $C$26) - ROUND(IF($C$12=1, E3/3600, (E3/0.7)/3600), 2) * $C$26 - 1)/ROUND(IF($C$12=1, E3/3600, (E3/0.7)/3600), 2), 0)&gt;0, (3600 * 5.3) / IF(ROUND(IF($C$12=1, E3/3600, (E3/0.7)/3600), 2)&gt;0, (EXP(ROUND(IF($C$12=1, E3/3600, (E3/0.7)/3600), 2) * $C$26) - ROUND(IF($C$12=1, E3/3600, (E3/0.7)/3600), 2) * $C$26 - 1)/ROUND(IF($C$12=1, E3/3600, (E3/0.7)/3600), 2), 0), 0)</f>
        <v/>
      </c>
      <c r="I3" s="4">
        <f>IF(IF(ROUND(IF($C$12=1, E3/3600, (E3/0.7)/3600), 2)&gt;0, (EXP(ROUND(IF($C$12=1, E3/3600, (E3/0.7)/3600), 2) * $C$26) - ROUND(IF($C$12=1, E3/3600, (E3/0.7)/3600), 2) * $C$26 - 1)/ROUND(IF($C$12=1, E3/3600, (E3/0.7)/3600), 2), 0)&gt;0, (3600 * 21.3) / IF(ROUND(IF($C$12=1, E3/3600, (E3/0.7)/3600), 2)&gt;0, (EXP(ROUND(IF($C$12=1, E3/3600, (E3/0.7)/3600), 2) * $C$26) - ROUND(IF($C$12=1, E3/3600, (E3/0.7)/3600), 2) * $C$26 - 1)/ROUND(IF($C$12=1, E3/3600, (E3/0.7)/3600), 2), 0), 0)</f>
        <v/>
      </c>
    </row>
    <row r="4" ht="20" customHeight="1">
      <c r="A4" s="6" t="inlineStr">
        <is>
          <t>Analyst:</t>
        </is>
      </c>
      <c r="B4" s="7" t="n"/>
      <c r="C4" s="8" t="inlineStr">
        <is>
          <t>Maria</t>
        </is>
      </c>
      <c r="E4" s="3" t="n">
        <v>600</v>
      </c>
      <c r="F4" s="4">
        <f>IF($C$24&lt;3.5, 0.5, 1) * IF($C$12=1, IF((0.00021 * E4^2 - 0.74072 * E4 + 734.125)/0.75 &lt; 133, 133, (0.00021 * E4^2 - 0.74072 * E4 + 734.125)/0.75), IF((0.00035 * E4^2 - 0.80083 * E4 + 529.197)/0.75 &lt; 93, 93, (0.00035 * E4^2 - 0.80083 * E4 + 529.197)/0.75))</f>
        <v/>
      </c>
      <c r="G4" s="4">
        <f>IF(IF(ROUND(IF($C$12=1, E4/3600, (E4/0.7)/3600), 2)&gt;0, (EXP(ROUND(IF($C$12=1, E4/3600, (E4/0.7)/3600), 2) * $C$26) - ROUND(IF($C$12=1, E4/3600, (E4/0.7)/3600), 2) * $C$26 - 1)/ROUND(IF($C$12=1, E4/3600, (E4/0.7)/3600), 2), 0)&gt;0, (3600 * 1.3) / IF(ROUND(IF($C$12=1, E4/3600, (E4/0.7)/3600), 2)&gt;0, (EXP(ROUND(IF($C$12=1, E4/3600, (E4/0.7)/3600), 2) * $C$26) - ROUND(IF($C$12=1, E4/3600, (E4/0.7)/3600), 2) * $C$26 - 1)/ROUND(IF($C$12=1, E4/3600, (E4/0.7)/3600), 2), 0), 0)</f>
        <v/>
      </c>
      <c r="H4" s="4">
        <f>IF(IF(ROUND(IF($C$12=1, E4/3600, (E4/0.7)/3600), 2)&gt;0, (EXP(ROUND(IF($C$12=1, E4/3600, (E4/0.7)/3600), 2) * $C$26) - ROUND(IF($C$12=1, E4/3600, (E4/0.7)/3600), 2) * $C$26 - 1)/ROUND(IF($C$12=1, E4/3600, (E4/0.7)/3600), 2), 0)&gt;0, (3600 * 5.3) / IF(ROUND(IF($C$12=1, E4/3600, (E4/0.7)/3600), 2)&gt;0, (EXP(ROUND(IF($C$12=1, E4/3600, (E4/0.7)/3600), 2) * $C$26) - ROUND(IF($C$12=1, E4/3600, (E4/0.7)/3600), 2) * $C$26 - 1)/ROUND(IF($C$12=1, E4/3600, (E4/0.7)/3600), 2), 0), 0)</f>
        <v/>
      </c>
      <c r="I4" s="4">
        <f>IF(IF(ROUND(IF($C$12=1, E4/3600, (E4/0.7)/3600), 2)&gt;0, (EXP(ROUND(IF($C$12=1, E4/3600, (E4/0.7)/3600), 2) * $C$26) - ROUND(IF($C$12=1, E4/3600, (E4/0.7)/3600), 2) * $C$26 - 1)/ROUND(IF($C$12=1, E4/3600, (E4/0.7)/3600), 2), 0)&gt;0, (3600 * 21.3) / IF(ROUND(IF($C$12=1, E4/3600, (E4/0.7)/3600), 2)&gt;0, (EXP(ROUND(IF($C$12=1, E4/3600, (E4/0.7)/3600), 2) * $C$26) - ROUND(IF($C$12=1, E4/3600, (E4/0.7)/3600), 2) * $C$26 - 1)/ROUND(IF($C$12=1, E4/3600, (E4/0.7)/3600), 2), 0), 0)</f>
        <v/>
      </c>
    </row>
    <row r="5" ht="20" customHeight="1">
      <c r="A5" s="6" t="inlineStr">
        <is>
          <t>Major Street:</t>
        </is>
      </c>
      <c r="B5" s="7" t="n"/>
      <c r="C5" s="8" t="inlineStr">
        <is>
          <t>Elm Street</t>
        </is>
      </c>
      <c r="E5" s="3" t="n">
        <v>900</v>
      </c>
      <c r="F5" s="4">
        <f>IF($C$24&lt;3.5, 0.5, 1) * IF($C$12=1, IF((0.00021 * E5^2 - 0.74072 * E5 + 734.125)/0.75 &lt; 133, 133, (0.00021 * E5^2 - 0.74072 * E5 + 734.125)/0.75), IF((0.00035 * E5^2 - 0.80083 * E5 + 529.197)/0.75 &lt; 93, 93, (0.00035 * E5^2 - 0.80083 * E5 + 529.197)/0.75))</f>
        <v/>
      </c>
      <c r="G5" s="4">
        <f>IF(IF(ROUND(IF($C$12=1, E5/3600, (E5/0.7)/3600), 2)&gt;0, (EXP(ROUND(IF($C$12=1, E5/3600, (E5/0.7)/3600), 2) * $C$26) - ROUND(IF($C$12=1, E5/3600, (E5/0.7)/3600), 2) * $C$26 - 1)/ROUND(IF($C$12=1, E5/3600, (E5/0.7)/3600), 2), 0)&gt;0, (3600 * 1.3) / IF(ROUND(IF($C$12=1, E5/3600, (E5/0.7)/3600), 2)&gt;0, (EXP(ROUND(IF($C$12=1, E5/3600, (E5/0.7)/3600), 2) * $C$26) - ROUND(IF($C$12=1, E5/3600, (E5/0.7)/3600), 2) * $C$26 - 1)/ROUND(IF($C$12=1, E5/3600, (E5/0.7)/3600), 2), 0), 0)</f>
        <v/>
      </c>
      <c r="H5" s="4">
        <f>IF(IF(ROUND(IF($C$12=1, E5/3600, (E5/0.7)/3600), 2)&gt;0, (EXP(ROUND(IF($C$12=1, E5/3600, (E5/0.7)/3600), 2) * $C$26) - ROUND(IF($C$12=1, E5/3600, (E5/0.7)/3600), 2) * $C$26 - 1)/ROUND(IF($C$12=1, E5/3600, (E5/0.7)/3600), 2), 0)&gt;0, (3600 * 5.3) / IF(ROUND(IF($C$12=1, E5/3600, (E5/0.7)/3600), 2)&gt;0, (EXP(ROUND(IF($C$12=1, E5/3600, (E5/0.7)/3600), 2) * $C$26) - ROUND(IF($C$12=1, E5/3600, (E5/0.7)/3600), 2) * $C$26 - 1)/ROUND(IF($C$12=1, E5/3600, (E5/0.7)/3600), 2), 0), 0)</f>
        <v/>
      </c>
      <c r="I5" s="4">
        <f>IF(IF(ROUND(IF($C$12=1, E5/3600, (E5/0.7)/3600), 2)&gt;0, (EXP(ROUND(IF($C$12=1, E5/3600, (E5/0.7)/3600), 2) * $C$26) - ROUND(IF($C$12=1, E5/3600, (E5/0.7)/3600), 2) * $C$26 - 1)/ROUND(IF($C$12=1, E5/3600, (E5/0.7)/3600), 2), 0)&gt;0, (3600 * 21.3) / IF(ROUND(IF($C$12=1, E5/3600, (E5/0.7)/3600), 2)&gt;0, (EXP(ROUND(IF($C$12=1, E5/3600, (E5/0.7)/3600), 2) * $C$26) - ROUND(IF($C$12=1, E5/3600, (E5/0.7)/3600), 2) * $C$26 - 1)/ROUND(IF($C$12=1, E5/3600, (E5/0.7)/3600), 2), 0), 0)</f>
        <v/>
      </c>
    </row>
    <row r="6" ht="20" customHeight="1">
      <c r="A6" s="6" t="inlineStr">
        <is>
          <t>Analysis Date:</t>
        </is>
      </c>
      <c r="B6" s="7" t="n"/>
      <c r="C6" s="8" t="inlineStr">
        <is>
          <t>1/19/06</t>
        </is>
      </c>
      <c r="E6" s="3" t="n">
        <v>1200</v>
      </c>
      <c r="F6" s="4">
        <f>IF($C$24&lt;3.5, 0.5, 1) * IF($C$12=1, IF((0.00021 * E6^2 - 0.74072 * E6 + 734.125)/0.75 &lt; 133, 133, (0.00021 * E6^2 - 0.74072 * E6 + 734.125)/0.75), IF((0.00035 * E6^2 - 0.80083 * E6 + 529.197)/0.75 &lt; 93, 93, (0.00035 * E6^2 - 0.80083 * E6 + 529.197)/0.75))</f>
        <v/>
      </c>
      <c r="G6" s="4">
        <f>IF(IF(ROUND(IF($C$12=1, E6/3600, (E6/0.7)/3600), 2)&gt;0, (EXP(ROUND(IF($C$12=1, E6/3600, (E6/0.7)/3600), 2) * $C$26) - ROUND(IF($C$12=1, E6/3600, (E6/0.7)/3600), 2) * $C$26 - 1)/ROUND(IF($C$12=1, E6/3600, (E6/0.7)/3600), 2), 0)&gt;0, (3600 * 1.3) / IF(ROUND(IF($C$12=1, E6/3600, (E6/0.7)/3600), 2)&gt;0, (EXP(ROUND(IF($C$12=1, E6/3600, (E6/0.7)/3600), 2) * $C$26) - ROUND(IF($C$12=1, E6/3600, (E6/0.7)/3600), 2) * $C$26 - 1)/ROUND(IF($C$12=1, E6/3600, (E6/0.7)/3600), 2), 0), 0)</f>
        <v/>
      </c>
      <c r="H6" s="4">
        <f>IF(IF(ROUND(IF($C$12=1, E6/3600, (E6/0.7)/3600), 2)&gt;0, (EXP(ROUND(IF($C$12=1, E6/3600, (E6/0.7)/3600), 2) * $C$26) - ROUND(IF($C$12=1, E6/3600, (E6/0.7)/3600), 2) * $C$26 - 1)/ROUND(IF($C$12=1, E6/3600, (E6/0.7)/3600), 2), 0)&gt;0, (3600 * 5.3) / IF(ROUND(IF($C$12=1, E6/3600, (E6/0.7)/3600), 2)&gt;0, (EXP(ROUND(IF($C$12=1, E6/3600, (E6/0.7)/3600), 2) * $C$26) - ROUND(IF($C$12=1, E6/3600, (E6/0.7)/3600), 2) * $C$26 - 1)/ROUND(IF($C$12=1, E6/3600, (E6/0.7)/3600), 2), 0), 0)</f>
        <v/>
      </c>
      <c r="I6" s="4">
        <f>IF(IF(ROUND(IF($C$12=1, E6/3600, (E6/0.7)/3600), 2)&gt;0, (EXP(ROUND(IF($C$12=1, E6/3600, (E6/0.7)/3600), 2) * $C$26) - ROUND(IF($C$12=1, E6/3600, (E6/0.7)/3600), 2) * $C$26 - 1)/ROUND(IF($C$12=1, E6/3600, (E6/0.7)/3600), 2), 0)&gt;0, (3600 * 21.3) / IF(ROUND(IF($C$12=1, E6/3600, (E6/0.7)/3600), 2)&gt;0, (EXP(ROUND(IF($C$12=1, E6/3600, (E6/0.7)/3600), 2) * $C$26) - ROUND(IF($C$12=1, E6/3600, (E6/0.7)/3600), 2) * $C$26 - 1)/ROUND(IF($C$12=1, E6/3600, (E6/0.7)/3600), 2), 0), 0)</f>
        <v/>
      </c>
    </row>
    <row r="7" ht="20" customHeight="1">
      <c r="A7" s="6" t="inlineStr">
        <is>
          <t>Minor Street or Location:</t>
        </is>
      </c>
      <c r="B7" s="7" t="n"/>
      <c r="C7" s="8" t="inlineStr">
        <is>
          <t>2700 Block</t>
        </is>
      </c>
      <c r="E7" s="3" t="n">
        <v>1500</v>
      </c>
      <c r="F7" s="4">
        <f>IF($C$24&lt;3.5, 0.5, 1) * IF($C$12=1, IF((0.00021 * E7^2 - 0.74072 * E7 + 734.125)/0.75 &lt; 133, 133, (0.00021 * E7^2 - 0.74072 * E7 + 734.125)/0.75), IF((0.00035 * E7^2 - 0.80083 * E7 + 529.197)/0.75 &lt; 93, 93, (0.00035 * E7^2 - 0.80083 * E7 + 529.197)/0.75))</f>
        <v/>
      </c>
      <c r="G7" s="4">
        <f>IF(IF(ROUND(IF($C$12=1, E7/3600, (E7/0.7)/3600), 2)&gt;0, (EXP(ROUND(IF($C$12=1, E7/3600, (E7/0.7)/3600), 2) * $C$26) - ROUND(IF($C$12=1, E7/3600, (E7/0.7)/3600), 2) * $C$26 - 1)/ROUND(IF($C$12=1, E7/3600, (E7/0.7)/3600), 2), 0)&gt;0, (3600 * 1.3) / IF(ROUND(IF($C$12=1, E7/3600, (E7/0.7)/3600), 2)&gt;0, (EXP(ROUND(IF($C$12=1, E7/3600, (E7/0.7)/3600), 2) * $C$26) - ROUND(IF($C$12=1, E7/3600, (E7/0.7)/3600), 2) * $C$26 - 1)/ROUND(IF($C$12=1, E7/3600, (E7/0.7)/3600), 2), 0), 0)</f>
        <v/>
      </c>
      <c r="H7" s="4">
        <f>IF(IF(ROUND(IF($C$12=1, E7/3600, (E7/0.7)/3600), 2)&gt;0, (EXP(ROUND(IF($C$12=1, E7/3600, (E7/0.7)/3600), 2) * $C$26) - ROUND(IF($C$12=1, E7/3600, (E7/0.7)/3600), 2) * $C$26 - 1)/ROUND(IF($C$12=1, E7/3600, (E7/0.7)/3600), 2), 0)&gt;0, (3600 * 5.3) / IF(ROUND(IF($C$12=1, E7/3600, (E7/0.7)/3600), 2)&gt;0, (EXP(ROUND(IF($C$12=1, E7/3600, (E7/0.7)/3600), 2) * $C$26) - ROUND(IF($C$12=1, E7/3600, (E7/0.7)/3600), 2) * $C$26 - 1)/ROUND(IF($C$12=1, E7/3600, (E7/0.7)/3600), 2), 0), 0)</f>
        <v/>
      </c>
      <c r="I7" s="4">
        <f>IF(IF(ROUND(IF($C$12=1, E7/3600, (E7/0.7)/3600), 2)&gt;0, (EXP(ROUND(IF($C$12=1, E7/3600, (E7/0.7)/3600), 2) * $C$26) - ROUND(IF($C$12=1, E7/3600, (E7/0.7)/3600), 2) * $C$26 - 1)/ROUND(IF($C$12=1, E7/3600, (E7/0.7)/3600), 2), 0)&gt;0, (3600 * 21.3) / IF(ROUND(IF($C$12=1, E7/3600, (E7/0.7)/3600), 2)&gt;0, (EXP(ROUND(IF($C$12=1, E7/3600, (E7/0.7)/3600), 2) * $C$26) - ROUND(IF($C$12=1, E7/3600, (E7/0.7)/3600), 2) * $C$26 - 1)/ROUND(IF($C$12=1, E7/3600, (E7/0.7)/3600), 2), 0), 0)</f>
        <v/>
      </c>
    </row>
    <row r="8" ht="20" customHeight="1">
      <c r="A8" s="6" t="inlineStr">
        <is>
          <t>Data Collection Date:</t>
        </is>
      </c>
      <c r="B8" s="7" t="n"/>
      <c r="C8" s="8" t="inlineStr">
        <is>
          <t>1/19/06</t>
        </is>
      </c>
      <c r="E8" s="3" t="n">
        <v>1800</v>
      </c>
      <c r="F8" s="4">
        <f>IF($C$24&lt;3.5, 0.5, 1) * IF($C$12=1, IF((0.00021 * E8^2 - 0.74072 * E8 + 734.125)/0.75 &lt; 133, 133, (0.00021 * E8^2 - 0.74072 * E8 + 734.125)/0.75), IF((0.00035 * E8^2 - 0.80083 * E8 + 529.197)/0.75 &lt; 93, 93, (0.00035 * E8^2 - 0.80083 * E8 + 529.197)/0.75))</f>
        <v/>
      </c>
      <c r="G8" s="4">
        <f>IF(IF(ROUND(IF($C$12=1, E8/3600, (E8/0.7)/3600), 2)&gt;0, (EXP(ROUND(IF($C$12=1, E8/3600, (E8/0.7)/3600), 2) * $C$26) - ROUND(IF($C$12=1, E8/3600, (E8/0.7)/3600), 2) * $C$26 - 1)/ROUND(IF($C$12=1, E8/3600, (E8/0.7)/3600), 2), 0)&gt;0, (3600 * 1.3) / IF(ROUND(IF($C$12=1, E8/3600, (E8/0.7)/3600), 2)&gt;0, (EXP(ROUND(IF($C$12=1, E8/3600, (E8/0.7)/3600), 2) * $C$26) - ROUND(IF($C$12=1, E8/3600, (E8/0.7)/3600), 2) * $C$26 - 1)/ROUND(IF($C$12=1, E8/3600, (E8/0.7)/3600), 2), 0), 0)</f>
        <v/>
      </c>
      <c r="H8" s="4">
        <f>IF(IF(ROUND(IF($C$12=1, E8/3600, (E8/0.7)/3600), 2)&gt;0, (EXP(ROUND(IF($C$12=1, E8/3600, (E8/0.7)/3600), 2) * $C$26) - ROUND(IF($C$12=1, E8/3600, (E8/0.7)/3600), 2) * $C$26 - 1)/ROUND(IF($C$12=1, E8/3600, (E8/0.7)/3600), 2), 0)&gt;0, (3600 * 5.3) / IF(ROUND(IF($C$12=1, E8/3600, (E8/0.7)/3600), 2)&gt;0, (EXP(ROUND(IF($C$12=1, E8/3600, (E8/0.7)/3600), 2) * $C$26) - ROUND(IF($C$12=1, E8/3600, (E8/0.7)/3600), 2) * $C$26 - 1)/ROUND(IF($C$12=1, E8/3600, (E8/0.7)/3600), 2), 0), 0)</f>
        <v/>
      </c>
      <c r="I8" s="4">
        <f>IF(IF(ROUND(IF($C$12=1, E8/3600, (E8/0.7)/3600), 2)&gt;0, (EXP(ROUND(IF($C$12=1, E8/3600, (E8/0.7)/3600), 2) * $C$26) - ROUND(IF($C$12=1, E8/3600, (E8/0.7)/3600), 2) * $C$26 - 1)/ROUND(IF($C$12=1, E8/3600, (E8/0.7)/3600), 2), 0)&gt;0, (3600 * 21.3) / IF(ROUND(IF($C$12=1, E8/3600, (E8/0.7)/3600), 2)&gt;0, (EXP(ROUND(IF($C$12=1, E8/3600, (E8/0.7)/3600), 2) * $C$26) - ROUND(IF($C$12=1, E8/3600, (E8/0.7)/3600), 2) * $C$26 - 1)/ROUND(IF($C$12=1, E8/3600, (E8/0.7)/3600), 2), 0), 0)</f>
        <v/>
      </c>
    </row>
    <row r="9" ht="20" customHeight="1">
      <c r="A9" s="6" t="inlineStr">
        <is>
          <t>Peak Hour:</t>
        </is>
      </c>
      <c r="B9" s="7" t="n"/>
      <c r="C9" s="8" t="inlineStr">
        <is>
          <t>5 to 6 pm</t>
        </is>
      </c>
      <c r="E9" s="3" t="n">
        <v>2100</v>
      </c>
      <c r="F9" s="4">
        <f>IF($C$24&lt;3.5, 0.5, 1) * IF($C$12=1, IF((0.00021 * E9^2 - 0.74072 * E9 + 734.125)/0.75 &lt; 133, 133, (0.00021 * E9^2 - 0.74072 * E9 + 734.125)/0.75), IF((0.00035 * E9^2 - 0.80083 * E9 + 529.197)/0.75 &lt; 93, 93, (0.00035 * E9^2 - 0.80083 * E9 + 529.197)/0.75))</f>
        <v/>
      </c>
      <c r="G9" s="4">
        <f>IF(IF(ROUND(IF($C$12=1, E9/3600, (E9/0.7)/3600), 2)&gt;0, (EXP(ROUND(IF($C$12=1, E9/3600, (E9/0.7)/3600), 2) * $C$26) - ROUND(IF($C$12=1, E9/3600, (E9/0.7)/3600), 2) * $C$26 - 1)/ROUND(IF($C$12=1, E9/3600, (E9/0.7)/3600), 2), 0)&gt;0, (3600 * 1.3) / IF(ROUND(IF($C$12=1, E9/3600, (E9/0.7)/3600), 2)&gt;0, (EXP(ROUND(IF($C$12=1, E9/3600, (E9/0.7)/3600), 2) * $C$26) - ROUND(IF($C$12=1, E9/3600, (E9/0.7)/3600), 2) * $C$26 - 1)/ROUND(IF($C$12=1, E9/3600, (E9/0.7)/3600), 2), 0), 0)</f>
        <v/>
      </c>
      <c r="H9" s="4">
        <f>IF(IF(ROUND(IF($C$12=1, E9/3600, (E9/0.7)/3600), 2)&gt;0, (EXP(ROUND(IF($C$12=1, E9/3600, (E9/0.7)/3600), 2) * $C$26) - ROUND(IF($C$12=1, E9/3600, (E9/0.7)/3600), 2) * $C$26 - 1)/ROUND(IF($C$12=1, E9/3600, (E9/0.7)/3600), 2), 0)&gt;0, (3600 * 5.3) / IF(ROUND(IF($C$12=1, E9/3600, (E9/0.7)/3600), 2)&gt;0, (EXP(ROUND(IF($C$12=1, E9/3600, (E9/0.7)/3600), 2) * $C$26) - ROUND(IF($C$12=1, E9/3600, (E9/0.7)/3600), 2) * $C$26 - 1)/ROUND(IF($C$12=1, E9/3600, (E9/0.7)/3600), 2), 0), 0)</f>
        <v/>
      </c>
      <c r="I9" s="4">
        <f>IF(IF(ROUND(IF($C$12=1, E9/3600, (E9/0.7)/3600), 2)&gt;0, (EXP(ROUND(IF($C$12=1, E9/3600, (E9/0.7)/3600), 2) * $C$26) - ROUND(IF($C$12=1, E9/3600, (E9/0.7)/3600), 2) * $C$26 - 1)/ROUND(IF($C$12=1, E9/3600, (E9/0.7)/3600), 2), 0)&gt;0, (3600 * 21.3) / IF(ROUND(IF($C$12=1, E9/3600, (E9/0.7)/3600), 2)&gt;0, (EXP(ROUND(IF($C$12=1, E9/3600, (E9/0.7)/3600), 2) * $C$26) - ROUND(IF($C$12=1, E9/3600, (E9/0.7)/3600), 2) * $C$26 - 1)/ROUND(IF($C$12=1, E9/3600, (E9/0.7)/3600), 2), 0), 0)</f>
        <v/>
      </c>
    </row>
    <row r="10" ht="20" customHeight="1">
      <c r="A10" s="6" t="inlineStr">
        <is>
          <t>Major Road Speed (mph):</t>
        </is>
      </c>
      <c r="B10" s="7" t="n"/>
      <c r="C10" s="9" t="n">
        <v>35</v>
      </c>
    </row>
    <row r="11" ht="22" customHeight="1">
      <c r="A11" s="10" t="inlineStr">
        <is>
          <t>Step 1: Select worksheet (speed reflects posted or statutory speed limit or 85th percentile speed on the major street):</t>
        </is>
      </c>
    </row>
    <row r="12" ht="36" customHeight="1">
      <c r="A12" s="11" t="inlineStr">
        <is>
          <t>a) Worksheet 1 - 35 mph (55 km/h) or less
b) Worksheet 2 - exceeds 35 mph (55 km/h), communities with less than 10,000, or where major transit stop exists:</t>
        </is>
      </c>
      <c r="B12" s="12" t="inlineStr">
        <is>
          <t>1a</t>
        </is>
      </c>
      <c r="C12" s="13">
        <f>IF(C10&lt;=35, 1, 2)</f>
        <v/>
      </c>
    </row>
    <row r="13" ht="22" customHeight="1">
      <c r="A13" s="10" t="inlineStr">
        <is>
          <t>Step 2: Does the crossing meet minimum pedestrian volumes to be considered for a TCD type of treatment?</t>
        </is>
      </c>
    </row>
    <row r="14" ht="22" customHeight="1">
      <c r="A14" s="11" t="inlineStr">
        <is>
          <t>Peak-hour pedestrian volume (ped/h), Vp:</t>
        </is>
      </c>
      <c r="B14" s="12" t="inlineStr">
        <is>
          <t>2a</t>
        </is>
      </c>
      <c r="C14" s="9" t="n">
        <v>50</v>
      </c>
    </row>
    <row r="15" ht="20" customHeight="1">
      <c r="A15" s="14" t="inlineStr">
        <is>
          <t>If 2a &gt;= 20 ped/h, then go to Step 3. If 2a &lt; 20 ped/h, then consider median refuge islands, curb extensions, traffic calming, etc. as feasible.</t>
        </is>
      </c>
    </row>
    <row r="16" ht="22" customHeight="1">
      <c r="A16" s="10" t="inlineStr">
        <is>
          <t>Step 3: Does the crossing meet the pedestrian volume warrant for a traffic signal?</t>
        </is>
      </c>
    </row>
    <row r="17" ht="22" customHeight="1">
      <c r="A17" s="11" t="inlineStr">
        <is>
          <t>Major road volume, total of both approaches during peak hour (veh/h), Vmaj-s:</t>
        </is>
      </c>
      <c r="B17" s="12" t="inlineStr">
        <is>
          <t>3a</t>
        </is>
      </c>
      <c r="C17" s="9" t="n">
        <v>1000</v>
      </c>
    </row>
    <row r="18" ht="36" customHeight="1">
      <c r="A18" s="11" t="inlineStr">
        <is>
          <t>Minimum signal warrant volume for peak hour (use 3a for Vmaj-s), SC:
SC = (0.00021 * Vmaj-s^2 - 0.74072 * Vmaj-s + 734.125)/0.75 OR [(0.00021 * 3a^2 - 0.74072 * 3a + 734.125)/0.75]</t>
        </is>
      </c>
      <c r="B18" s="12" t="inlineStr">
        <is>
          <t>3b</t>
        </is>
      </c>
      <c r="C18" s="13">
        <f>(0.00021 * C17^2 - 0.74072 * C17 + 734.125)/0.75</f>
        <v/>
      </c>
    </row>
    <row r="19" ht="22" customHeight="1">
      <c r="A19" s="11" t="inlineStr">
        <is>
          <t>If 3b &lt; 133, then enter 133. If 3b &gt;= 133, then enter 3b:</t>
        </is>
      </c>
      <c r="B19" s="12" t="inlineStr">
        <is>
          <t>3c</t>
        </is>
      </c>
      <c r="C19" s="13">
        <f>IF(C18&lt;133, 133, C18)</f>
        <v/>
      </c>
    </row>
    <row r="20" ht="36" customHeight="1">
      <c r="A20" s="11" t="inlineStr">
        <is>
          <t>If 15th percentile crossing speed of pedestrians is less than 3.5 ft/s (1.1 m/s), then reduce 3c by up to 50 percent; otherwise enter 3c:</t>
        </is>
      </c>
      <c r="B20" s="12" t="inlineStr">
        <is>
          <t>3d</t>
        </is>
      </c>
      <c r="C20" s="13">
        <f>IF(C24&lt;3.5, C19*0.5, C19)</f>
        <v/>
      </c>
    </row>
    <row r="21" ht="36" customHeight="1">
      <c r="A21" s="6" t="inlineStr">
        <is>
          <t>If 2a &gt;= 3d, then the warrant has been met and a traffic signal should be considered if not within 300 ft (91 m) of another traffic signal. Otherwise, the warrant has not been met. Go to Step 4:</t>
        </is>
      </c>
      <c r="B21" s="12" t="inlineStr">
        <is>
          <t>Status</t>
        </is>
      </c>
      <c r="C21" s="13">
        <f>IF(C14&gt;=C20, "MET", "NOT MET")</f>
        <v/>
      </c>
    </row>
    <row r="22" ht="22" customHeight="1">
      <c r="A22" s="10" t="inlineStr">
        <is>
          <t>Step 4: Estimate pedestrian delay</t>
        </is>
      </c>
    </row>
    <row r="23" ht="22" customHeight="1">
      <c r="A23" s="11" t="inlineStr">
        <is>
          <t>Pedestrian crossing distance, curb to curb (ft), L:</t>
        </is>
      </c>
      <c r="B23" s="12" t="inlineStr">
        <is>
          <t>4a</t>
        </is>
      </c>
      <c r="C23" s="9" t="n">
        <v>56</v>
      </c>
    </row>
    <row r="24" ht="22" customHeight="1">
      <c r="A24" s="11" t="inlineStr">
        <is>
          <t>Pedestrian walking speed (ft/s), Sp:</t>
        </is>
      </c>
      <c r="B24" s="12" t="inlineStr">
        <is>
          <t>4b</t>
        </is>
      </c>
      <c r="C24" s="9" t="n">
        <v>3.5</v>
      </c>
    </row>
    <row r="25" ht="22" customHeight="1">
      <c r="A25" s="11" t="inlineStr">
        <is>
          <t>Pedestrian start-up time and end clearance time (s), ts:</t>
        </is>
      </c>
      <c r="B25" s="12" t="inlineStr">
        <is>
          <t>4c</t>
        </is>
      </c>
      <c r="C25" s="9" t="n">
        <v>3</v>
      </c>
    </row>
    <row r="26" ht="22" customHeight="1">
      <c r="A26" s="11" t="inlineStr">
        <is>
          <t>Critical gap required for crossing pedestrian (s), tc = (L / Sp) + ts OR [(4a / 4b) + 4c]:</t>
        </is>
      </c>
      <c r="B26" s="12" t="inlineStr">
        <is>
          <t>4d</t>
        </is>
      </c>
      <c r="C26" s="13">
        <f>(C23/C24)+C25</f>
        <v/>
      </c>
    </row>
    <row r="27" ht="36" customHeight="1">
      <c r="A27" s="11" t="inlineStr">
        <is>
          <t>Major road volume, total both approaches or approach being crossed if median refuge island is present during peak hour (veh/h), Vmaj-d:</t>
        </is>
      </c>
      <c r="B27" s="12" t="inlineStr">
        <is>
          <t>4e</t>
        </is>
      </c>
      <c r="C27" s="9" t="n">
        <v>1000</v>
      </c>
    </row>
    <row r="28" ht="24" customHeight="1">
      <c r="A28" s="11" t="inlineStr">
        <is>
          <t>Major road flow rate (veh/s), v = Vmaj-d / 3600 OR [4e/3600]:</t>
        </is>
      </c>
      <c r="B28" s="12" t="inlineStr">
        <is>
          <t>4f</t>
        </is>
      </c>
      <c r="C28" s="13">
        <f>ROUND(C27/3600, 2)</f>
        <v/>
      </c>
    </row>
    <row r="29" ht="22" customHeight="1">
      <c r="A29" s="11" t="inlineStr">
        <is>
          <t>Average pedestrian delay (s/person), dp = (e^vtc - vtc - 1)/v OR [(e^4f x 4d - 4f x 4d - 1) / 4f]:</t>
        </is>
      </c>
      <c r="B29" s="12" t="inlineStr">
        <is>
          <t>4g</t>
        </is>
      </c>
      <c r="C29" s="13">
        <f>IF(C28&gt;0, (EXP(C28*C26)-C28*C26-1)/C28, 0)</f>
        <v/>
      </c>
    </row>
    <row r="30" ht="56" customHeight="1">
      <c r="A30" s="11" t="inlineStr">
        <is>
          <t>Total pedestrian delay (h), Dp = (dp x Vp)/3,600 OR [(4g x 2a)/3,600]
(this is estimated delay for all pedestrians crossing the major roadway without a crossing treatment - assumes 0% compliance). This calculated value can be replaced with the actual total pedestrian delay measured at the site.</t>
        </is>
      </c>
      <c r="B30" s="12" t="inlineStr">
        <is>
          <t>4h</t>
        </is>
      </c>
      <c r="C30" s="13">
        <f>(C29*C14)/3600</f>
        <v/>
      </c>
    </row>
    <row r="31" ht="22" customHeight="1">
      <c r="A31" s="10" t="inlineStr">
        <is>
          <t>Step 5: Select treatment based upon total pedestrian delay and expected motorist compliance</t>
        </is>
      </c>
    </row>
    <row r="32" ht="22" customHeight="1">
      <c r="A32" s="11" t="inlineStr">
        <is>
          <t>Expected motorist compliance at pedestrian crossings in region, Comp = high or low:</t>
        </is>
      </c>
      <c r="B32" s="12" t="inlineStr">
        <is>
          <t>5a</t>
        </is>
      </c>
      <c r="C32" s="9" t="inlineStr">
        <is>
          <t>HIGH</t>
        </is>
      </c>
    </row>
    <row r="33" ht="24" customHeight="1">
      <c r="A33" s="15" t="inlineStr">
        <is>
          <t>Total Pedestrian Delay, Dp (from 4h) and Motorist Compliance, Comp (from 5a)</t>
        </is>
      </c>
      <c r="B33" s="16" t="inlineStr">
        <is>
          <t>Treatment Category</t>
        </is>
      </c>
      <c r="C33" s="16" t="inlineStr">
        <is>
          <t>Value Box</t>
        </is>
      </c>
    </row>
    <row r="34" ht="36" customHeight="1">
      <c r="A34" s="11" t="inlineStr">
        <is>
          <t>Dp &gt;= 21.3 h (Comp = high or low)
          OR
5.3 h &lt;= Dp &lt; 21.3 h and Comp = low</t>
        </is>
      </c>
      <c r="B34" s="17" t="inlineStr">
        <is>
          <t>RED</t>
        </is>
      </c>
      <c r="C34" s="13">
        <f>IF(AND(C14&gt;=20, C21="NOT MET", OR(C30&gt;=21.3, AND(C30&gt;=5.3, UPPER(C32)="LOW"))), "RED", "")</f>
        <v/>
      </c>
    </row>
    <row r="35" ht="36" customHeight="1">
      <c r="A35" s="11" t="inlineStr">
        <is>
          <t>1.3 h &lt;= Dp &lt; 5.3 h (Comp = high or low)
          OR
5.3 h &lt;= Dp &lt; 21.3 h and Comp = high</t>
        </is>
      </c>
      <c r="B35" s="17" t="inlineStr">
        <is>
          <t>ACTIVE OR ENHANCED</t>
        </is>
      </c>
      <c r="C35" s="13">
        <f>IF(AND(C14&gt;=20, C21="NOT MET", OR(AND(C30&gt;=1.3, C30&lt;5.3), AND(C30&gt;=5.3, C30&lt;21.3, UPPER(C32)="HIGH"))), "ACTIVE OR ENHANCED", "")</f>
        <v/>
      </c>
    </row>
    <row r="36" ht="24" customHeight="1">
      <c r="A36" s="11" t="inlineStr">
        <is>
          <t>Dp &lt; 1.3 h (Comp = high or low)</t>
        </is>
      </c>
      <c r="B36" s="17" t="inlineStr">
        <is>
          <t>CROSSWALK</t>
        </is>
      </c>
      <c r="C36" s="13">
        <f>IF(AND(C14&gt;=20, C21="NOT MET", C30&lt;1.3), "CROSSWALK", "")</f>
        <v/>
      </c>
    </row>
    <row r="37" ht="36" customHeight="1">
      <c r="A37" s="18" t="inlineStr">
        <is>
          <t>Total Pedestrian Delay, Dp (from 4h) and Motorist Compliance, Comp (from 5a)
RECOMMENDED TREATMENT CATEGORY:</t>
        </is>
      </c>
      <c r="B37" s="19" t="inlineStr">
        <is>
          <t>5b</t>
        </is>
      </c>
      <c r="C37" s="20">
        <f>IF(C14&lt;20, "NO TREATMENT", IF(C21="MET", "SIGNAL PROPOSED", IF(C34&lt;&gt;"", C34, IF(C35&lt;&gt;"", C35, C36))))</f>
        <v/>
      </c>
    </row>
  </sheetData>
  <mergeCells count="8">
    <mergeCell ref="A13:C13"/>
    <mergeCell ref="A11:C11"/>
    <mergeCell ref="A1:C1"/>
    <mergeCell ref="A31:C31"/>
    <mergeCell ref="A22:C22"/>
    <mergeCell ref="A3:C3"/>
    <mergeCell ref="A15:C15"/>
    <mergeCell ref="A16:C16"/>
  </mergeCells>
  <conditionalFormatting sqref="C34">
    <cfRule type="cellIs" priority="1" operator="equal" dxfId="0">
      <formula>"RED"</formula>
    </cfRule>
  </conditionalFormatting>
  <conditionalFormatting sqref="C35">
    <cfRule type="cellIs" priority="2" operator="equal" dxfId="1">
      <formula>"ACTIVE OR ENHANCED"</formula>
    </cfRule>
  </conditionalFormatting>
  <conditionalFormatting sqref="C36">
    <cfRule type="cellIs" priority="3" operator="equal" dxfId="2">
      <formula>"CROSSWALK"</formula>
    </cfRule>
  </conditionalFormatting>
  <conditionalFormatting sqref="C37">
    <cfRule type="cellIs" priority="4" operator="equal" dxfId="1">
      <formula>"ACTIVE OR ENHANCED"</formula>
    </cfRule>
    <cfRule type="cellIs" priority="5" operator="equal" dxfId="0">
      <formula>"RED"</formula>
    </cfRule>
    <cfRule type="cellIs" priority="6" operator="equal" dxfId="0">
      <formula>"SIGNAL PROPOSED"</formula>
    </cfRule>
    <cfRule type="cellIs" priority="7" operator="equal" dxfId="2">
      <formula>"CROSSWALK"</formula>
    </cfRule>
    <cfRule type="cellIs" priority="8" operator="equal" dxfId="3">
      <formula>"NO TREATMENT"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5" customWidth="1" min="2" max="2"/>
    <col width="25" customWidth="1" min="3" max="3"/>
  </cols>
  <sheetData>
    <row r="1" ht="35" customHeight="1">
      <c r="A1" s="1" t="inlineStr">
        <is>
          <t>WORKSHEET 2: PEAK-HOUR, EXCEEDS 35 MPH (55 KM/H), COMMUNITIES &lt; 10,000, OR NEAR PRODUCTION TRANSIT</t>
        </is>
      </c>
      <c r="E1" s="2" t="inlineStr">
        <is>
          <t>Major Road Volume (veh/h)</t>
        </is>
      </c>
      <c r="F1" s="2" t="inlineStr">
        <is>
          <t>Signal Warrant (SC)</t>
        </is>
      </c>
      <c r="G1" s="2" t="inlineStr">
        <is>
          <t>Delay = 1.3</t>
        </is>
      </c>
      <c r="H1" s="2" t="inlineStr">
        <is>
          <t>Delay = 5.3</t>
        </is>
      </c>
      <c r="I1" s="2" t="inlineStr">
        <is>
          <t>Delay = 21.3</t>
        </is>
      </c>
      <c r="K1" s="2" t="inlineStr">
        <is>
          <t>User Volume</t>
        </is>
      </c>
      <c r="L1" s="2" t="inlineStr">
        <is>
          <t>User Pedestrians</t>
        </is>
      </c>
    </row>
    <row r="2">
      <c r="E2" s="3" t="n">
        <v>0</v>
      </c>
      <c r="F2" s="4">
        <f>IF($C$24&lt;3.5, 0.5, 1) * IF($C$12=1, IF((0.00021 * E2^2 - 0.74072 * E2 + 734.125)/0.75 &lt; 133, 133, (0.00021 * E2^2 - 0.74072 * E2 + 734.125)/0.75), IF((0.00035 * E2^2 - 0.80083 * E2 + 529.197)/0.75 &lt; 93, 93, (0.00035 * E2^2 - 0.80083 * E2 + 529.197)/0.75))</f>
        <v/>
      </c>
      <c r="G2" s="4">
        <f>IF(IF(ROUND(IF($C$12=1, E2/3600, (E2/0.7)/3600), 2)&gt;0, (EXP(ROUND(IF($C$12=1, E2/3600, (E2/0.7)/3600), 2) * $C$26) - ROUND(IF($C$12=1, E2/3600, (E2/0.7)/3600), 2) * $C$26 - 1)/ROUND(IF($C$12=1, E2/3600, (E2/0.7)/3600), 2), 0)&gt;0, (3600 * 1.3) / IF(ROUND(IF($C$12=1, E2/3600, (E2/0.7)/3600), 2)&gt;0, (EXP(ROUND(IF($C$12=1, E2/3600, (E2/0.7)/3600), 2) * $C$26) - ROUND(IF($C$12=1, E2/3600, (E2/0.7)/3600), 2) * $C$26 - 1)/ROUND(IF($C$12=1, E2/3600, (E2/0.7)/3600), 2), 0), 0)</f>
        <v/>
      </c>
      <c r="H2" s="4">
        <f>IF(IF(ROUND(IF($C$12=1, E2/3600, (E2/0.7)/3600), 2)&gt;0, (EXP(ROUND(IF($C$12=1, E2/3600, (E2/0.7)/3600), 2) * $C$26) - ROUND(IF($C$12=1, E2/3600, (E2/0.7)/3600), 2) * $C$26 - 1)/ROUND(IF($C$12=1, E2/3600, (E2/0.7)/3600), 2), 0)&gt;0, (3600 * 5.3) / IF(ROUND(IF($C$12=1, E2/3600, (E2/0.7)/3600), 2)&gt;0, (EXP(ROUND(IF($C$12=1, E2/3600, (E2/0.7)/3600), 2) * $C$26) - ROUND(IF($C$12=1, E2/3600, (E2/0.7)/3600), 2) * $C$26 - 1)/ROUND(IF($C$12=1, E2/3600, (E2/0.7)/3600), 2), 0), 0)</f>
        <v/>
      </c>
      <c r="I2" s="4">
        <f>IF(IF(ROUND(IF($C$12=1, E2/3600, (E2/0.7)/3600), 2)&gt;0, (EXP(ROUND(IF($C$12=1, E2/3600, (E2/0.7)/3600), 2) * $C$26) - ROUND(IF($C$12=1, E2/3600, (E2/0.7)/3600), 2) * $C$26 - 1)/ROUND(IF($C$12=1, E2/3600, (E2/0.7)/3600), 2), 0)&gt;0, (3600 * 21.3) / IF(ROUND(IF($C$12=1, E2/3600, (E2/0.7)/3600), 2)&gt;0, (EXP(ROUND(IF($C$12=1, E2/3600, (E2/0.7)/3600), 2) * $C$26) - ROUND(IF($C$12=1, E2/3600, (E2/0.7)/3600), 2) * $C$26 - 1)/ROUND(IF($C$12=1, E2/3600, (E2/0.7)/3600), 2), 0), 0)</f>
        <v/>
      </c>
      <c r="K2" s="3">
        <f>C17</f>
        <v/>
      </c>
      <c r="L2" s="3">
        <f>C14</f>
        <v/>
      </c>
    </row>
    <row r="3" ht="24" customHeight="1">
      <c r="A3" s="5" t="inlineStr">
        <is>
          <t>Analyst and Site Information</t>
        </is>
      </c>
      <c r="E3" s="3" t="n">
        <v>300</v>
      </c>
      <c r="F3" s="4">
        <f>IF($C$24&lt;3.5, 0.5, 1) * IF($C$12=1, IF((0.00021 * E3^2 - 0.74072 * E3 + 734.125)/0.75 &lt; 133, 133, (0.00021 * E3^2 - 0.74072 * E3 + 734.125)/0.75), IF((0.00035 * E3^2 - 0.80083 * E3 + 529.197)/0.75 &lt; 93, 93, (0.00035 * E3^2 - 0.80083 * E3 + 529.197)/0.75))</f>
        <v/>
      </c>
      <c r="G3" s="4">
        <f>IF(IF(ROUND(IF($C$12=1, E3/3600, (E3/0.7)/3600), 2)&gt;0, (EXP(ROUND(IF($C$12=1, E3/3600, (E3/0.7)/3600), 2) * $C$26) - ROUND(IF($C$12=1, E3/3600, (E3/0.7)/3600), 2) * $C$26 - 1)/ROUND(IF($C$12=1, E3/3600, (E3/0.7)/3600), 2), 0)&gt;0, (3600 * 1.3) / IF(ROUND(IF($C$12=1, E3/3600, (E3/0.7)/3600), 2)&gt;0, (EXP(ROUND(IF($C$12=1, E3/3600, (E3/0.7)/3600), 2) * $C$26) - ROUND(IF($C$12=1, E3/3600, (E3/0.7)/3600), 2) * $C$26 - 1)/ROUND(IF($C$12=1, E3/3600, (E3/0.7)/3600), 2), 0), 0)</f>
        <v/>
      </c>
      <c r="H3" s="4">
        <f>IF(IF(ROUND(IF($C$12=1, E3/3600, (E3/0.7)/3600), 2)&gt;0, (EXP(ROUND(IF($C$12=1, E3/3600, (E3/0.7)/3600), 2) * $C$26) - ROUND(IF($C$12=1, E3/3600, (E3/0.7)/3600), 2) * $C$26 - 1)/ROUND(IF($C$12=1, E3/3600, (E3/0.7)/3600), 2), 0)&gt;0, (3600 * 5.3) / IF(ROUND(IF($C$12=1, E3/3600, (E3/0.7)/3600), 2)&gt;0, (EXP(ROUND(IF($C$12=1, E3/3600, (E3/0.7)/3600), 2) * $C$26) - ROUND(IF($C$12=1, E3/3600, (E3/0.7)/3600), 2) * $C$26 - 1)/ROUND(IF($C$12=1, E3/3600, (E3/0.7)/3600), 2), 0), 0)</f>
        <v/>
      </c>
      <c r="I3" s="4">
        <f>IF(IF(ROUND(IF($C$12=1, E3/3600, (E3/0.7)/3600), 2)&gt;0, (EXP(ROUND(IF($C$12=1, E3/3600, (E3/0.7)/3600), 2) * $C$26) - ROUND(IF($C$12=1, E3/3600, (E3/0.7)/3600), 2) * $C$26 - 1)/ROUND(IF($C$12=1, E3/3600, (E3/0.7)/3600), 2), 0)&gt;0, (3600 * 21.3) / IF(ROUND(IF($C$12=1, E3/3600, (E3/0.7)/3600), 2)&gt;0, (EXP(ROUND(IF($C$12=1, E3/3600, (E3/0.7)/3600), 2) * $C$26) - ROUND(IF($C$12=1, E3/3600, (E3/0.7)/3600), 2) * $C$26 - 1)/ROUND(IF($C$12=1, E3/3600, (E3/0.7)/3600), 2), 0), 0)</f>
        <v/>
      </c>
    </row>
    <row r="4" ht="20" customHeight="1">
      <c r="A4" s="6" t="inlineStr">
        <is>
          <t>Analyst:</t>
        </is>
      </c>
      <c r="B4" s="7" t="n"/>
      <c r="C4" s="8" t="inlineStr">
        <is>
          <t>Maria</t>
        </is>
      </c>
      <c r="E4" s="3" t="n">
        <v>600</v>
      </c>
      <c r="F4" s="4">
        <f>IF($C$24&lt;3.5, 0.5, 1) * IF($C$12=1, IF((0.00021 * E4^2 - 0.74072 * E4 + 734.125)/0.75 &lt; 133, 133, (0.00021 * E4^2 - 0.74072 * E4 + 734.125)/0.75), IF((0.00035 * E4^2 - 0.80083 * E4 + 529.197)/0.75 &lt; 93, 93, (0.00035 * E4^2 - 0.80083 * E4 + 529.197)/0.75))</f>
        <v/>
      </c>
      <c r="G4" s="4">
        <f>IF(IF(ROUND(IF($C$12=1, E4/3600, (E4/0.7)/3600), 2)&gt;0, (EXP(ROUND(IF($C$12=1, E4/3600, (E4/0.7)/3600), 2) * $C$26) - ROUND(IF($C$12=1, E4/3600, (E4/0.7)/3600), 2) * $C$26 - 1)/ROUND(IF($C$12=1, E4/3600, (E4/0.7)/3600), 2), 0)&gt;0, (3600 * 1.3) / IF(ROUND(IF($C$12=1, E4/3600, (E4/0.7)/3600), 2)&gt;0, (EXP(ROUND(IF($C$12=1, E4/3600, (E4/0.7)/3600), 2) * $C$26) - ROUND(IF($C$12=1, E4/3600, (E4/0.7)/3600), 2) * $C$26 - 1)/ROUND(IF($C$12=1, E4/3600, (E4/0.7)/3600), 2), 0), 0)</f>
        <v/>
      </c>
      <c r="H4" s="4">
        <f>IF(IF(ROUND(IF($C$12=1, E4/3600, (E4/0.7)/3600), 2)&gt;0, (EXP(ROUND(IF($C$12=1, E4/3600, (E4/0.7)/3600), 2) * $C$26) - ROUND(IF($C$12=1, E4/3600, (E4/0.7)/3600), 2) * $C$26 - 1)/ROUND(IF($C$12=1, E4/3600, (E4/0.7)/3600), 2), 0)&gt;0, (3600 * 5.3) / IF(ROUND(IF($C$12=1, E4/3600, (E4/0.7)/3600), 2)&gt;0, (EXP(ROUND(IF($C$12=1, E4/3600, (E4/0.7)/3600), 2) * $C$26) - ROUND(IF($C$12=1, E4/3600, (E4/0.7)/3600), 2) * $C$26 - 1)/ROUND(IF($C$12=1, E4/3600, (E4/0.7)/3600), 2), 0), 0)</f>
        <v/>
      </c>
      <c r="I4" s="4">
        <f>IF(IF(ROUND(IF($C$12=1, E4/3600, (E4/0.7)/3600), 2)&gt;0, (EXP(ROUND(IF($C$12=1, E4/3600, (E4/0.7)/3600), 2) * $C$26) - ROUND(IF($C$12=1, E4/3600, (E4/0.7)/3600), 2) * $C$26 - 1)/ROUND(IF($C$12=1, E4/3600, (E4/0.7)/3600), 2), 0)&gt;0, (3600 * 21.3) / IF(ROUND(IF($C$12=1, E4/3600, (E4/0.7)/3600), 2)&gt;0, (EXP(ROUND(IF($C$12=1, E4/3600, (E4/0.7)/3600), 2) * $C$26) - ROUND(IF($C$12=1, E4/3600, (E4/0.7)/3600), 2) * $C$26 - 1)/ROUND(IF($C$12=1, E4/3600, (E4/0.7)/3600), 2), 0), 0)</f>
        <v/>
      </c>
    </row>
    <row r="5" ht="20" customHeight="1">
      <c r="A5" s="6" t="inlineStr">
        <is>
          <t>Major Street:</t>
        </is>
      </c>
      <c r="B5" s="7" t="n"/>
      <c r="C5" s="8" t="inlineStr">
        <is>
          <t>Elm Street</t>
        </is>
      </c>
      <c r="E5" s="3" t="n">
        <v>900</v>
      </c>
      <c r="F5" s="4">
        <f>IF($C$24&lt;3.5, 0.5, 1) * IF($C$12=1, IF((0.00021 * E5^2 - 0.74072 * E5 + 734.125)/0.75 &lt; 133, 133, (0.00021 * E5^2 - 0.74072 * E5 + 734.125)/0.75), IF((0.00035 * E5^2 - 0.80083 * E5 + 529.197)/0.75 &lt; 93, 93, (0.00035 * E5^2 - 0.80083 * E5 + 529.197)/0.75))</f>
        <v/>
      </c>
      <c r="G5" s="4">
        <f>IF(IF(ROUND(IF($C$12=1, E5/3600, (E5/0.7)/3600), 2)&gt;0, (EXP(ROUND(IF($C$12=1, E5/3600, (E5/0.7)/3600), 2) * $C$26) - ROUND(IF($C$12=1, E5/3600, (E5/0.7)/3600), 2) * $C$26 - 1)/ROUND(IF($C$12=1, E5/3600, (E5/0.7)/3600), 2), 0)&gt;0, (3600 * 1.3) / IF(ROUND(IF($C$12=1, E5/3600, (E5/0.7)/3600), 2)&gt;0, (EXP(ROUND(IF($C$12=1, E5/3600, (E5/0.7)/3600), 2) * $C$26) - ROUND(IF($C$12=1, E5/3600, (E5/0.7)/3600), 2) * $C$26 - 1)/ROUND(IF($C$12=1, E5/3600, (E5/0.7)/3600), 2), 0), 0)</f>
        <v/>
      </c>
      <c r="H5" s="4">
        <f>IF(IF(ROUND(IF($C$12=1, E5/3600, (E5/0.7)/3600), 2)&gt;0, (EXP(ROUND(IF($C$12=1, E5/3600, (E5/0.7)/3600), 2) * $C$26) - ROUND(IF($C$12=1, E5/3600, (E5/0.7)/3600), 2) * $C$26 - 1)/ROUND(IF($C$12=1, E5/3600, (E5/0.7)/3600), 2), 0)&gt;0, (3600 * 5.3) / IF(ROUND(IF($C$12=1, E5/3600, (E5/0.7)/3600), 2)&gt;0, (EXP(ROUND(IF($C$12=1, E5/3600, (E5/0.7)/3600), 2) * $C$26) - ROUND(IF($C$12=1, E5/3600, (E5/0.7)/3600), 2) * $C$26 - 1)/ROUND(IF($C$12=1, E5/3600, (E5/0.7)/3600), 2), 0), 0)</f>
        <v/>
      </c>
      <c r="I5" s="4">
        <f>IF(IF(ROUND(IF($C$12=1, E5/3600, (E5/0.7)/3600), 2)&gt;0, (EXP(ROUND(IF($C$12=1, E5/3600, (E5/0.7)/3600), 2) * $C$26) - ROUND(IF($C$12=1, E5/3600, (E5/0.7)/3600), 2) * $C$26 - 1)/ROUND(IF($C$12=1, E5/3600, (E5/0.7)/3600), 2), 0)&gt;0, (3600 * 21.3) / IF(ROUND(IF($C$12=1, E5/3600, (E5/0.7)/3600), 2)&gt;0, (EXP(ROUND(IF($C$12=1, E5/3600, (E5/0.7)/3600), 2) * $C$26) - ROUND(IF($C$12=1, E5/3600, (E5/0.7)/3600), 2) * $C$26 - 1)/ROUND(IF($C$12=1, E5/3600, (E5/0.7)/3600), 2), 0), 0)</f>
        <v/>
      </c>
    </row>
    <row r="6" ht="20" customHeight="1">
      <c r="A6" s="6" t="inlineStr">
        <is>
          <t>Analysis Date:</t>
        </is>
      </c>
      <c r="B6" s="7" t="n"/>
      <c r="C6" s="8" t="inlineStr">
        <is>
          <t>1/19/06</t>
        </is>
      </c>
      <c r="E6" s="3" t="n">
        <v>1200</v>
      </c>
      <c r="F6" s="4">
        <f>IF($C$24&lt;3.5, 0.5, 1) * IF($C$12=1, IF((0.00021 * E6^2 - 0.74072 * E6 + 734.125)/0.75 &lt; 133, 133, (0.00021 * E6^2 - 0.74072 * E6 + 734.125)/0.75), IF((0.00035 * E6^2 - 0.80083 * E6 + 529.197)/0.75 &lt; 93, 93, (0.00035 * E6^2 - 0.80083 * E6 + 529.197)/0.75))</f>
        <v/>
      </c>
      <c r="G6" s="4">
        <f>IF(IF(ROUND(IF($C$12=1, E6/3600, (E6/0.7)/3600), 2)&gt;0, (EXP(ROUND(IF($C$12=1, E6/3600, (E6/0.7)/3600), 2) * $C$26) - ROUND(IF($C$12=1, E6/3600, (E6/0.7)/3600), 2) * $C$26 - 1)/ROUND(IF($C$12=1, E6/3600, (E6/0.7)/3600), 2), 0)&gt;0, (3600 * 1.3) / IF(ROUND(IF($C$12=1, E6/3600, (E6/0.7)/3600), 2)&gt;0, (EXP(ROUND(IF($C$12=1, E6/3600, (E6/0.7)/3600), 2) * $C$26) - ROUND(IF($C$12=1, E6/3600, (E6/0.7)/3600), 2) * $C$26 - 1)/ROUND(IF($C$12=1, E6/3600, (E6/0.7)/3600), 2), 0), 0)</f>
        <v/>
      </c>
      <c r="H6" s="4">
        <f>IF(IF(ROUND(IF($C$12=1, E6/3600, (E6/0.7)/3600), 2)&gt;0, (EXP(ROUND(IF($C$12=1, E6/3600, (E6/0.7)/3600), 2) * $C$26) - ROUND(IF($C$12=1, E6/3600, (E6/0.7)/3600), 2) * $C$26 - 1)/ROUND(IF($C$12=1, E6/3600, (E6/0.7)/3600), 2), 0)&gt;0, (3600 * 5.3) / IF(ROUND(IF($C$12=1, E6/3600, (E6/0.7)/3600), 2)&gt;0, (EXP(ROUND(IF($C$12=1, E6/3600, (E6/0.7)/3600), 2) * $C$26) - ROUND(IF($C$12=1, E6/3600, (E6/0.7)/3600), 2) * $C$26 - 1)/ROUND(IF($C$12=1, E6/3600, (E6/0.7)/3600), 2), 0), 0)</f>
        <v/>
      </c>
      <c r="I6" s="4">
        <f>IF(IF(ROUND(IF($C$12=1, E6/3600, (E6/0.7)/3600), 2)&gt;0, (EXP(ROUND(IF($C$12=1, E6/3600, (E6/0.7)/3600), 2) * $C$26) - ROUND(IF($C$12=1, E6/3600, (E6/0.7)/3600), 2) * $C$26 - 1)/ROUND(IF($C$12=1, E6/3600, (E6/0.7)/3600), 2), 0)&gt;0, (3600 * 21.3) / IF(ROUND(IF($C$12=1, E6/3600, (E6/0.7)/3600), 2)&gt;0, (EXP(ROUND(IF($C$12=1, E6/3600, (E6/0.7)/3600), 2) * $C$26) - ROUND(IF($C$12=1, E6/3600, (E6/0.7)/3600), 2) * $C$26 - 1)/ROUND(IF($C$12=1, E6/3600, (E6/0.7)/3600), 2), 0), 0)</f>
        <v/>
      </c>
    </row>
    <row r="7" ht="20" customHeight="1">
      <c r="A7" s="6" t="inlineStr">
        <is>
          <t>Minor Street or Location:</t>
        </is>
      </c>
      <c r="B7" s="7" t="n"/>
      <c r="C7" s="8" t="inlineStr">
        <is>
          <t>2700 Block</t>
        </is>
      </c>
      <c r="E7" s="3" t="n">
        <v>1500</v>
      </c>
      <c r="F7" s="4">
        <f>IF($C$24&lt;3.5, 0.5, 1) * IF($C$12=1, IF((0.00021 * E7^2 - 0.74072 * E7 + 734.125)/0.75 &lt; 133, 133, (0.00021 * E7^2 - 0.74072 * E7 + 734.125)/0.75), IF((0.00035 * E7^2 - 0.80083 * E7 + 529.197)/0.75 &lt; 93, 93, (0.00035 * E7^2 - 0.80083 * E7 + 529.197)/0.75))</f>
        <v/>
      </c>
      <c r="G7" s="4">
        <f>IF(IF(ROUND(IF($C$12=1, E7/3600, (E7/0.7)/3600), 2)&gt;0, (EXP(ROUND(IF($C$12=1, E7/3600, (E7/0.7)/3600), 2) * $C$26) - ROUND(IF($C$12=1, E7/3600, (E7/0.7)/3600), 2) * $C$26 - 1)/ROUND(IF($C$12=1, E7/3600, (E7/0.7)/3600), 2), 0)&gt;0, (3600 * 1.3) / IF(ROUND(IF($C$12=1, E7/3600, (E7/0.7)/3600), 2)&gt;0, (EXP(ROUND(IF($C$12=1, E7/3600, (E7/0.7)/3600), 2) * $C$26) - ROUND(IF($C$12=1, E7/3600, (E7/0.7)/3600), 2) * $C$26 - 1)/ROUND(IF($C$12=1, E7/3600, (E7/0.7)/3600), 2), 0), 0)</f>
        <v/>
      </c>
      <c r="H7" s="4">
        <f>IF(IF(ROUND(IF($C$12=1, E7/3600, (E7/0.7)/3600), 2)&gt;0, (EXP(ROUND(IF($C$12=1, E7/3600, (E7/0.7)/3600), 2) * $C$26) - ROUND(IF($C$12=1, E7/3600, (E7/0.7)/3600), 2) * $C$26 - 1)/ROUND(IF($C$12=1, E7/3600, (E7/0.7)/3600), 2), 0)&gt;0, (3600 * 5.3) / IF(ROUND(IF($C$12=1, E7/3600, (E7/0.7)/3600), 2)&gt;0, (EXP(ROUND(IF($C$12=1, E7/3600, (E7/0.7)/3600), 2) * $C$26) - ROUND(IF($C$12=1, E7/3600, (E7/0.7)/3600), 2) * $C$26 - 1)/ROUND(IF($C$12=1, E7/3600, (E7/0.7)/3600), 2), 0), 0)</f>
        <v/>
      </c>
      <c r="I7" s="4">
        <f>IF(IF(ROUND(IF($C$12=1, E7/3600, (E7/0.7)/3600), 2)&gt;0, (EXP(ROUND(IF($C$12=1, E7/3600, (E7/0.7)/3600), 2) * $C$26) - ROUND(IF($C$12=1, E7/3600, (E7/0.7)/3600), 2) * $C$26 - 1)/ROUND(IF($C$12=1, E7/3600, (E7/0.7)/3600), 2), 0)&gt;0, (3600 * 21.3) / IF(ROUND(IF($C$12=1, E7/3600, (E7/0.7)/3600), 2)&gt;0, (EXP(ROUND(IF($C$12=1, E7/3600, (E7/0.7)/3600), 2) * $C$26) - ROUND(IF($C$12=1, E7/3600, (E7/0.7)/3600), 2) * $C$26 - 1)/ROUND(IF($C$12=1, E7/3600, (E7/0.7)/3600), 2), 0), 0)</f>
        <v/>
      </c>
    </row>
    <row r="8" ht="20" customHeight="1">
      <c r="A8" s="6" t="inlineStr">
        <is>
          <t>Data Collection Date:</t>
        </is>
      </c>
      <c r="B8" s="7" t="n"/>
      <c r="C8" s="8" t="inlineStr">
        <is>
          <t>1/19/06</t>
        </is>
      </c>
      <c r="E8" s="3" t="n">
        <v>1800</v>
      </c>
      <c r="F8" s="4">
        <f>IF($C$24&lt;3.5, 0.5, 1) * IF($C$12=1, IF((0.00021 * E8^2 - 0.74072 * E8 + 734.125)/0.75 &lt; 133, 133, (0.00021 * E8^2 - 0.74072 * E8 + 734.125)/0.75), IF((0.00035 * E8^2 - 0.80083 * E8 + 529.197)/0.75 &lt; 93, 93, (0.00035 * E8^2 - 0.80083 * E8 + 529.197)/0.75))</f>
        <v/>
      </c>
      <c r="G8" s="4">
        <f>IF(IF(ROUND(IF($C$12=1, E8/3600, (E8/0.7)/3600), 2)&gt;0, (EXP(ROUND(IF($C$12=1, E8/3600, (E8/0.7)/3600), 2) * $C$26) - ROUND(IF($C$12=1, E8/3600, (E8/0.7)/3600), 2) * $C$26 - 1)/ROUND(IF($C$12=1, E8/3600, (E8/0.7)/3600), 2), 0)&gt;0, (3600 * 1.3) / IF(ROUND(IF($C$12=1, E8/3600, (E8/0.7)/3600), 2)&gt;0, (EXP(ROUND(IF($C$12=1, E8/3600, (E8/0.7)/3600), 2) * $C$26) - ROUND(IF($C$12=1, E8/3600, (E8/0.7)/3600), 2) * $C$26 - 1)/ROUND(IF($C$12=1, E8/3600, (E8/0.7)/3600), 2), 0), 0)</f>
        <v/>
      </c>
      <c r="H8" s="4">
        <f>IF(IF(ROUND(IF($C$12=1, E8/3600, (E8/0.7)/3600), 2)&gt;0, (EXP(ROUND(IF($C$12=1, E8/3600, (E8/0.7)/3600), 2) * $C$26) - ROUND(IF($C$12=1, E8/3600, (E8/0.7)/3600), 2) * $C$26 - 1)/ROUND(IF($C$12=1, E8/3600, (E8/0.7)/3600), 2), 0)&gt;0, (3600 * 5.3) / IF(ROUND(IF($C$12=1, E8/3600, (E8/0.7)/3600), 2)&gt;0, (EXP(ROUND(IF($C$12=1, E8/3600, (E8/0.7)/3600), 2) * $C$26) - ROUND(IF($C$12=1, E8/3600, (E8/0.7)/3600), 2) * $C$26 - 1)/ROUND(IF($C$12=1, E8/3600, (E8/0.7)/3600), 2), 0), 0)</f>
        <v/>
      </c>
      <c r="I8" s="4">
        <f>IF(IF(ROUND(IF($C$12=1, E8/3600, (E8/0.7)/3600), 2)&gt;0, (EXP(ROUND(IF($C$12=1, E8/3600, (E8/0.7)/3600), 2) * $C$26) - ROUND(IF($C$12=1, E8/3600, (E8/0.7)/3600), 2) * $C$26 - 1)/ROUND(IF($C$12=1, E8/3600, (E8/0.7)/3600), 2), 0)&gt;0, (3600 * 21.3) / IF(ROUND(IF($C$12=1, E8/3600, (E8/0.7)/3600), 2)&gt;0, (EXP(ROUND(IF($C$12=1, E8/3600, (E8/0.7)/3600), 2) * $C$26) - ROUND(IF($C$12=1, E8/3600, (E8/0.7)/3600), 2) * $C$26 - 1)/ROUND(IF($C$12=1, E8/3600, (E8/0.7)/3600), 2), 0), 0)</f>
        <v/>
      </c>
    </row>
    <row r="9" ht="20" customHeight="1">
      <c r="A9" s="6" t="inlineStr">
        <is>
          <t>Peak Hour:</t>
        </is>
      </c>
      <c r="B9" s="7" t="n"/>
      <c r="C9" s="8" t="inlineStr">
        <is>
          <t>5 to 6 pm</t>
        </is>
      </c>
      <c r="E9" s="3" t="n">
        <v>2100</v>
      </c>
      <c r="F9" s="4">
        <f>IF($C$24&lt;3.5, 0.5, 1) * IF($C$12=1, IF((0.00021 * E9^2 - 0.74072 * E9 + 734.125)/0.75 &lt; 133, 133, (0.00021 * E9^2 - 0.74072 * E9 + 734.125)/0.75), IF((0.00035 * E9^2 - 0.80083 * E9 + 529.197)/0.75 &lt; 93, 93, (0.00035 * E9^2 - 0.80083 * E9 + 529.197)/0.75))</f>
        <v/>
      </c>
      <c r="G9" s="4">
        <f>IF(IF(ROUND(IF($C$12=1, E9/3600, (E9/0.7)/3600), 2)&gt;0, (EXP(ROUND(IF($C$12=1, E9/3600, (E9/0.7)/3600), 2) * $C$26) - ROUND(IF($C$12=1, E9/3600, (E9/0.7)/3600), 2) * $C$26 - 1)/ROUND(IF($C$12=1, E9/3600, (E9/0.7)/3600), 2), 0)&gt;0, (3600 * 1.3) / IF(ROUND(IF($C$12=1, E9/3600, (E9/0.7)/3600), 2)&gt;0, (EXP(ROUND(IF($C$12=1, E9/3600, (E9/0.7)/3600), 2) * $C$26) - ROUND(IF($C$12=1, E9/3600, (E9/0.7)/3600), 2) * $C$26 - 1)/ROUND(IF($C$12=1, E9/3600, (E9/0.7)/3600), 2), 0), 0)</f>
        <v/>
      </c>
      <c r="H9" s="4">
        <f>IF(IF(ROUND(IF($C$12=1, E9/3600, (E9/0.7)/3600), 2)&gt;0, (EXP(ROUND(IF($C$12=1, E9/3600, (E9/0.7)/3600), 2) * $C$26) - ROUND(IF($C$12=1, E9/3600, (E9/0.7)/3600), 2) * $C$26 - 1)/ROUND(IF($C$12=1, E9/3600, (E9/0.7)/3600), 2), 0)&gt;0, (3600 * 5.3) / IF(ROUND(IF($C$12=1, E9/3600, (E9/0.7)/3600), 2)&gt;0, (EXP(ROUND(IF($C$12=1, E9/3600, (E9/0.7)/3600), 2) * $C$26) - ROUND(IF($C$12=1, E9/3600, (E9/0.7)/3600), 2) * $C$26 - 1)/ROUND(IF($C$12=1, E9/3600, (E9/0.7)/3600), 2), 0), 0)</f>
        <v/>
      </c>
      <c r="I9" s="4">
        <f>IF(IF(ROUND(IF($C$12=1, E9/3600, (E9/0.7)/3600), 2)&gt;0, (EXP(ROUND(IF($C$12=1, E9/3600, (E9/0.7)/3600), 2) * $C$26) - ROUND(IF($C$12=1, E9/3600, (E9/0.7)/3600), 2) * $C$26 - 1)/ROUND(IF($C$12=1, E9/3600, (E9/0.7)/3600), 2), 0)&gt;0, (3600 * 21.3) / IF(ROUND(IF($C$12=1, E9/3600, (E9/0.7)/3600), 2)&gt;0, (EXP(ROUND(IF($C$12=1, E9/3600, (E9/0.7)/3600), 2) * $C$26) - ROUND(IF($C$12=1, E9/3600, (E9/0.7)/3600), 2) * $C$26 - 1)/ROUND(IF($C$12=1, E9/3600, (E9/0.7)/3600), 2), 0), 0)</f>
        <v/>
      </c>
    </row>
    <row r="10" ht="20" customHeight="1">
      <c r="A10" s="6" t="inlineStr">
        <is>
          <t>Major Road Speed (mph):</t>
        </is>
      </c>
      <c r="B10" s="7" t="n"/>
      <c r="C10" s="9" t="n">
        <v>45</v>
      </c>
    </row>
    <row r="11" ht="22" customHeight="1">
      <c r="A11" s="10" t="inlineStr">
        <is>
          <t>Step 1: Select worksheet (speed reflects posted or statutory speed limit or 85th percentile speed on the major street):</t>
        </is>
      </c>
    </row>
    <row r="12" ht="36" customHeight="1">
      <c r="A12" s="11" t="inlineStr">
        <is>
          <t>a) Worksheet 1 - 35 mph (55 km/h) or less
b) Worksheet 2 - exceeds 35 mph (55 km/h), communities with less than 10,000, or where major transit stop exists:</t>
        </is>
      </c>
      <c r="B12" s="12" t="inlineStr">
        <is>
          <t>1a</t>
        </is>
      </c>
      <c r="C12" s="13">
        <f>IF(C10&lt;=35, 1, 2)</f>
        <v/>
      </c>
    </row>
    <row r="13" ht="22" customHeight="1">
      <c r="A13" s="10" t="inlineStr">
        <is>
          <t>Step 2: Does the crossing meet minimum pedestrian volumes to be considered for a TCD type of treatment?</t>
        </is>
      </c>
    </row>
    <row r="14" ht="22" customHeight="1">
      <c r="A14" s="11" t="inlineStr">
        <is>
          <t>Peak-hour pedestrian volume (ped/h), Vp:</t>
        </is>
      </c>
      <c r="B14" s="12" t="inlineStr">
        <is>
          <t>2a</t>
        </is>
      </c>
      <c r="C14" s="9" t="n">
        <v>50</v>
      </c>
    </row>
    <row r="15" ht="20" customHeight="1">
      <c r="A15" s="14" t="inlineStr">
        <is>
          <t>If 2a &gt;= 14 ped/h, then go to Step 3. If 2a &lt; 14 ped/h, then consider median refuge islands, curb extensions, traffic calming, etc. as feasible.</t>
        </is>
      </c>
    </row>
    <row r="16" ht="22" customHeight="1">
      <c r="A16" s="10" t="inlineStr">
        <is>
          <t>Step 3: Does the crossing meet the pedestrian volume warrant for a traffic signal?</t>
        </is>
      </c>
    </row>
    <row r="17" ht="22" customHeight="1">
      <c r="A17" s="11" t="inlineStr">
        <is>
          <t>Major road volume, total of both approaches during peak hour (veh/h), Vmaj-s:</t>
        </is>
      </c>
      <c r="B17" s="12" t="inlineStr">
        <is>
          <t>3a</t>
        </is>
      </c>
      <c r="C17" s="9" t="n">
        <v>1000</v>
      </c>
    </row>
    <row r="18" ht="36" customHeight="1">
      <c r="A18" s="11" t="inlineStr">
        <is>
          <t>Minimum signal warrant volume for peak hour (use 3a for Vmaj-s), SC:
SC = (0.00035 * Vmaj-s^2 - 0.80083 * Vmaj-s + 529.197)/0.75 OR [(0.00035 * 3a^2 - 0.80083 * 3a + 529.197)/0.75]</t>
        </is>
      </c>
      <c r="B18" s="12" t="inlineStr">
        <is>
          <t>3b</t>
        </is>
      </c>
      <c r="C18" s="13">
        <f>(0.00035 * C17^2 - 0.80083 * C17 + 529.197)/0.75</f>
        <v/>
      </c>
    </row>
    <row r="19" ht="22" customHeight="1">
      <c r="A19" s="11" t="inlineStr">
        <is>
          <t>If 3b &lt; 93, then enter 93. If 3b &gt;= 93, then enter 3b:</t>
        </is>
      </c>
      <c r="B19" s="12" t="inlineStr">
        <is>
          <t>3c</t>
        </is>
      </c>
      <c r="C19" s="13">
        <f>IF(C18&lt;93, 93, C18)</f>
        <v/>
      </c>
    </row>
    <row r="20" ht="36" customHeight="1">
      <c r="A20" s="11" t="inlineStr">
        <is>
          <t>If 15th percentile crossing speed of pedestrians is less than 3.5 ft/s (1.1 m/s), then reduce 3c by up to 50 percent; otherwise enter 3c:</t>
        </is>
      </c>
      <c r="B20" s="12" t="inlineStr">
        <is>
          <t>3d</t>
        </is>
      </c>
      <c r="C20" s="13">
        <f>IF(C24&lt;3.5, C19*0.5, C19)</f>
        <v/>
      </c>
    </row>
    <row r="21" ht="36" customHeight="1">
      <c r="A21" s="6" t="inlineStr">
        <is>
          <t>If 2a &gt;= 3d, then the warrant has been met and a traffic signal should be considered if not within 300 ft (91 m) of another traffic signal. Otherwise, the warrant has not been met. Go to Step 4:</t>
        </is>
      </c>
      <c r="B21" s="12" t="inlineStr">
        <is>
          <t>Status</t>
        </is>
      </c>
      <c r="C21" s="13">
        <f>IF(C14&gt;=C20, "MET", "NOT MET")</f>
        <v/>
      </c>
    </row>
    <row r="22" ht="22" customHeight="1">
      <c r="A22" s="10" t="inlineStr">
        <is>
          <t>Step 4: Estimate pedestrian delay</t>
        </is>
      </c>
    </row>
    <row r="23" ht="22" customHeight="1">
      <c r="A23" s="11" t="inlineStr">
        <is>
          <t>Pedestrian crossing distance, curb to curb (ft), L:</t>
        </is>
      </c>
      <c r="B23" s="12" t="inlineStr">
        <is>
          <t>4a</t>
        </is>
      </c>
      <c r="C23" s="9" t="n">
        <v>56</v>
      </c>
    </row>
    <row r="24" ht="22" customHeight="1">
      <c r="A24" s="11" t="inlineStr">
        <is>
          <t>Pedestrian walking speed (ft/s), Sp:</t>
        </is>
      </c>
      <c r="B24" s="12" t="inlineStr">
        <is>
          <t>4b</t>
        </is>
      </c>
      <c r="C24" s="9" t="n">
        <v>3.5</v>
      </c>
    </row>
    <row r="25" ht="22" customHeight="1">
      <c r="A25" s="11" t="inlineStr">
        <is>
          <t>Pedestrian start-up time and end clearance time (s), ts:</t>
        </is>
      </c>
      <c r="B25" s="12" t="inlineStr">
        <is>
          <t>4c</t>
        </is>
      </c>
      <c r="C25" s="9" t="n">
        <v>3</v>
      </c>
    </row>
    <row r="26" ht="22" customHeight="1">
      <c r="A26" s="11" t="inlineStr">
        <is>
          <t>Critical gap required for crossing pedestrian (s), tc = (L / Sp) + ts OR [(4a / 4b) + 4c]:</t>
        </is>
      </c>
      <c r="B26" s="12" t="inlineStr">
        <is>
          <t>4d</t>
        </is>
      </c>
      <c r="C26" s="13">
        <f>(C23/C24)+C25</f>
        <v/>
      </c>
    </row>
    <row r="27" ht="36" customHeight="1">
      <c r="A27" s="11" t="inlineStr">
        <is>
          <t>Major road volume, total both approaches or approach being crossed if median refuge island is present during peak hour (veh/h), Vmaj-d:</t>
        </is>
      </c>
      <c r="B27" s="12" t="inlineStr">
        <is>
          <t>4e</t>
        </is>
      </c>
      <c r="C27" s="9" t="n">
        <v>1000</v>
      </c>
    </row>
    <row r="28" ht="24" customHeight="1">
      <c r="A28" s="11" t="inlineStr">
        <is>
          <t>Major road flow rate (veh/s), v = (Vmaj-d / 0.7) / 3600 OR [(4e / 0.7) / 3,600]:</t>
        </is>
      </c>
      <c r="B28" s="12" t="inlineStr">
        <is>
          <t>4f</t>
        </is>
      </c>
      <c r="C28" s="13">
        <f>ROUND((C27/0.7)/3600, 2)</f>
        <v/>
      </c>
    </row>
    <row r="29" ht="22" customHeight="1">
      <c r="A29" s="11" t="inlineStr">
        <is>
          <t>Average pedestrian delay (s/person), dp = (e^vtc - vtc - 1)/v OR [(e^4f x 4d - 4f x 4d - 1) / 4f]:</t>
        </is>
      </c>
      <c r="B29" s="12" t="inlineStr">
        <is>
          <t>4g</t>
        </is>
      </c>
      <c r="C29" s="13">
        <f>IF(C28&gt;0, (EXP(C28*C26)-C28*C26-1)/C28, 0)</f>
        <v/>
      </c>
    </row>
    <row r="30" ht="56" customHeight="1">
      <c r="A30" s="11" t="inlineStr">
        <is>
          <t>Total pedestrian delay (h), Dp = (dp x Vp)/3,600 OR [(4g x 2a)/3,600]
(this is estimated delay for all pedestrians crossing the major roadway without a crossing treatment - assumes 0% compliance). This calculated value can be replaced with the actual total pedestrian delay measured at the site.</t>
        </is>
      </c>
      <c r="B30" s="12" t="inlineStr">
        <is>
          <t>4h</t>
        </is>
      </c>
      <c r="C30" s="13">
        <f>(C29*C14)/3600</f>
        <v/>
      </c>
    </row>
    <row r="31" ht="22" customHeight="1">
      <c r="A31" s="10" t="inlineStr">
        <is>
          <t>Step 5: Select treatment based upon total pedestrian delay and expected motorist compliance</t>
        </is>
      </c>
    </row>
    <row r="32" ht="22" customHeight="1">
      <c r="A32" s="11" t="inlineStr">
        <is>
          <t>Expected motorist compliance at pedestrian crossings in region, Comp = high or low:</t>
        </is>
      </c>
      <c r="B32" s="12" t="inlineStr">
        <is>
          <t>5a</t>
        </is>
      </c>
      <c r="C32" s="9" t="inlineStr">
        <is>
          <t>HIGH</t>
        </is>
      </c>
    </row>
    <row r="33" ht="24" customHeight="1">
      <c r="A33" s="15" t="inlineStr">
        <is>
          <t>Total Pedestrian Delay, Dp (from 4h) and Motorist Compliance, Comp (from 5a)</t>
        </is>
      </c>
      <c r="B33" s="16" t="inlineStr">
        <is>
          <t>Treatment Category</t>
        </is>
      </c>
      <c r="C33" s="16" t="inlineStr">
        <is>
          <t>Value Box</t>
        </is>
      </c>
    </row>
    <row r="34" ht="36" customHeight="1">
      <c r="A34" s="11" t="inlineStr">
        <is>
          <t>Dp &gt;= 21.3 h (Comp = high or low)
          OR
5.3 h &lt;= Dp &lt; 21.3 h and Comp = low</t>
        </is>
      </c>
      <c r="B34" s="17" t="inlineStr">
        <is>
          <t>RED</t>
        </is>
      </c>
      <c r="C34" s="13">
        <f>IF(AND(C14&gt;=14, C21="NOT MET", OR(C30&gt;=21.3, AND(C30&gt;=5.3, UPPER(C32)="LOW"))), "RED", "")</f>
        <v/>
      </c>
    </row>
    <row r="35" ht="36" customHeight="1">
      <c r="A35" s="11" t="inlineStr">
        <is>
          <t>Dp &lt; 5.3 h (Comp = high or low)
          OR
5.3 h &lt;= Dp &lt; 21.3 h and Comp = high</t>
        </is>
      </c>
      <c r="B35" s="17" t="inlineStr">
        <is>
          <t>ACTIVE OR ENHANCED</t>
        </is>
      </c>
      <c r="C35" s="13">
        <f>IF(AND(C14&gt;=14, C21="NOT MET", OR(C30&lt;5.3, AND(C30&gt;=5.3, C30&lt;21.3, UPPER(C32)="HIGH"))), "ACTIVE OR ENHANCED", "")</f>
        <v/>
      </c>
    </row>
    <row r="36" ht="36" customHeight="1">
      <c r="A36" s="18" t="inlineStr">
        <is>
          <t>Total Pedestrian Delay, Dp (from 4h) and Motorist Compliance, Comp (from 5a)
RECOMMENDED TREATMENT CATEGORY:</t>
        </is>
      </c>
      <c r="B36" s="19" t="inlineStr">
        <is>
          <t>5b</t>
        </is>
      </c>
      <c r="C36" s="20">
        <f>IF(C14&lt;14, "NO TREATMENT", IF(C21="MET", "SIGNAL PROPOSED", IF(C34&lt;&gt;"", C34, C35)))</f>
        <v/>
      </c>
    </row>
  </sheetData>
  <mergeCells count="8">
    <mergeCell ref="A13:C13"/>
    <mergeCell ref="A11:C11"/>
    <mergeCell ref="A1:C1"/>
    <mergeCell ref="A31:C31"/>
    <mergeCell ref="A22:C22"/>
    <mergeCell ref="A3:C3"/>
    <mergeCell ref="A15:C15"/>
    <mergeCell ref="A16:C16"/>
  </mergeCells>
  <conditionalFormatting sqref="C34">
    <cfRule type="cellIs" priority="1" operator="equal" dxfId="0">
      <formula>"RED"</formula>
    </cfRule>
  </conditionalFormatting>
  <conditionalFormatting sqref="C35">
    <cfRule type="cellIs" priority="2" operator="equal" dxfId="1">
      <formula>"ACTIVE OR ENHANCED"</formula>
    </cfRule>
  </conditionalFormatting>
  <conditionalFormatting sqref="C36">
    <cfRule type="cellIs" priority="3" operator="equal" dxfId="1">
      <formula>"ACTIVE OR ENHANCED"</formula>
    </cfRule>
    <cfRule type="cellIs" priority="4" operator="equal" dxfId="0">
      <formula>"RED"</formula>
    </cfRule>
    <cfRule type="cellIs" priority="5" operator="equal" dxfId="0">
      <formula>"SIGNAL PROPOSED"</formula>
    </cfRule>
    <cfRule type="cellIs" priority="6" operator="equal" dxfId="2">
      <formula>"CROSSWALK"</formula>
    </cfRule>
    <cfRule type="cellIs" priority="7" operator="equal" dxfId="3">
      <formula>"NO TREATMENT"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2026-06-25T17:00:21Z</dcterms:created>
  <dcterms:modified xmlns:dcterms="http://purl.org/dc/terms/" xmlns:xsi="http://www.w3.org/2001/XMLSchema-instance" xsi:type="dcterms:W3CDTF">2026-06-25T17:00:21Z</dcterms:modified>
</cp:coreProperties>
</file>